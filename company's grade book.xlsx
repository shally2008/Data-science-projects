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33a7258af9fb4fb/DATA_SCIENCE_PROJECTS/"/>
    </mc:Choice>
  </mc:AlternateContent>
  <xr:revisionPtr revIDLastSave="0" documentId="8_{536B3231-D514-4748-AA0B-A1551D4F1B3D}" xr6:coauthVersionLast="47" xr6:coauthVersionMax="47" xr10:uidLastSave="{00000000-0000-0000-0000-000000000000}"/>
  <bookViews>
    <workbookView xWindow="-110" yWindow="-110" windowWidth="19420" windowHeight="10300"/>
  </bookViews>
  <sheets>
    <sheet name="grade book" sheetId="1" r:id="rId1"/>
  </sheets>
  <calcPr calcId="0"/>
</workbook>
</file>

<file path=xl/calcChain.xml><?xml version="1.0" encoding="utf-8"?>
<calcChain xmlns="http://schemas.openxmlformats.org/spreadsheetml/2006/main">
  <c r="K24" i="1" l="1"/>
  <c r="J24" i="1"/>
  <c r="I24" i="1"/>
  <c r="H24" i="1"/>
  <c r="K23" i="1"/>
  <c r="J23" i="1"/>
  <c r="I23" i="1"/>
  <c r="H23" i="1"/>
  <c r="K22" i="1"/>
  <c r="J22" i="1"/>
  <c r="I22" i="1"/>
  <c r="H22" i="1"/>
  <c r="D22" i="1"/>
  <c r="E22" i="1"/>
  <c r="F22" i="1"/>
  <c r="D23" i="1"/>
  <c r="E23" i="1"/>
  <c r="F23" i="1"/>
  <c r="D24" i="1"/>
  <c r="E24" i="1"/>
  <c r="F24" i="1"/>
  <c r="C23" i="1"/>
  <c r="C24" i="1"/>
  <c r="C22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4" i="1"/>
  <c r="I4" i="1"/>
  <c r="J4" i="1"/>
  <c r="K4" i="1"/>
  <c r="I5" i="1"/>
  <c r="J5" i="1"/>
  <c r="K5" i="1"/>
  <c r="I6" i="1"/>
  <c r="J6" i="1"/>
  <c r="K6" i="1"/>
  <c r="I7" i="1"/>
  <c r="J7" i="1"/>
  <c r="K7" i="1"/>
  <c r="I8" i="1"/>
  <c r="J8" i="1"/>
  <c r="K8" i="1"/>
  <c r="I9" i="1"/>
  <c r="J9" i="1"/>
  <c r="K9" i="1"/>
  <c r="I10" i="1"/>
  <c r="J10" i="1"/>
  <c r="K10" i="1"/>
  <c r="I11" i="1"/>
  <c r="J11" i="1"/>
  <c r="K11" i="1"/>
  <c r="I12" i="1"/>
  <c r="J12" i="1"/>
  <c r="K12" i="1"/>
  <c r="I13" i="1"/>
  <c r="J13" i="1"/>
  <c r="K13" i="1"/>
  <c r="I14" i="1"/>
  <c r="J14" i="1"/>
  <c r="K14" i="1"/>
  <c r="I15" i="1"/>
  <c r="J15" i="1"/>
  <c r="K15" i="1"/>
  <c r="I16" i="1"/>
  <c r="J16" i="1"/>
  <c r="K16" i="1"/>
  <c r="I17" i="1"/>
  <c r="J17" i="1"/>
  <c r="K17" i="1"/>
  <c r="I18" i="1"/>
  <c r="J18" i="1"/>
  <c r="K18" i="1"/>
  <c r="I19" i="1"/>
  <c r="J19" i="1"/>
  <c r="K19" i="1"/>
  <c r="I20" i="1"/>
  <c r="J20" i="1"/>
  <c r="K20" i="1"/>
  <c r="H11" i="1"/>
  <c r="H12" i="1"/>
  <c r="H13" i="1"/>
  <c r="H14" i="1"/>
  <c r="H15" i="1"/>
  <c r="H16" i="1"/>
  <c r="H17" i="1"/>
  <c r="H18" i="1"/>
  <c r="H19" i="1"/>
  <c r="H20" i="1"/>
  <c r="H5" i="1"/>
  <c r="H6" i="1"/>
  <c r="H7" i="1"/>
  <c r="H8" i="1"/>
  <c r="H9" i="1"/>
  <c r="H10" i="1"/>
  <c r="H4" i="1"/>
</calcChain>
</file>

<file path=xl/sharedStrings.xml><?xml version="1.0" encoding="utf-8"?>
<sst xmlns="http://schemas.openxmlformats.org/spreadsheetml/2006/main" count="50" uniqueCount="46">
  <si>
    <t>FirstName</t>
  </si>
  <si>
    <t>LastName</t>
  </si>
  <si>
    <t>Olivia</t>
  </si>
  <si>
    <t>Bennett</t>
  </si>
  <si>
    <t>Daniel</t>
  </si>
  <si>
    <t>Thompson</t>
  </si>
  <si>
    <t>Sophia</t>
  </si>
  <si>
    <t>Martinez</t>
  </si>
  <si>
    <t>Michael</t>
  </si>
  <si>
    <t>Johnson</t>
  </si>
  <si>
    <t>Emma</t>
  </si>
  <si>
    <t>Williams</t>
  </si>
  <si>
    <t>David</t>
  </si>
  <si>
    <t>Brown</t>
  </si>
  <si>
    <t>Ava</t>
  </si>
  <si>
    <t>Anderson</t>
  </si>
  <si>
    <t>Christopher</t>
  </si>
  <si>
    <t>Davis</t>
  </si>
  <si>
    <t>Isabella</t>
  </si>
  <si>
    <t>Moore</t>
  </si>
  <si>
    <t>Matthew</t>
  </si>
  <si>
    <t>Taylor</t>
  </si>
  <si>
    <t>Mia</t>
  </si>
  <si>
    <t>Thomas</t>
  </si>
  <si>
    <t>Joshua</t>
  </si>
  <si>
    <t>Wilson</t>
  </si>
  <si>
    <t>Charlotte</t>
  </si>
  <si>
    <t>White</t>
  </si>
  <si>
    <t>Andrew</t>
  </si>
  <si>
    <t>Harris</t>
  </si>
  <si>
    <t>Amelia</t>
  </si>
  <si>
    <t>Clark</t>
  </si>
  <si>
    <t>Joseph</t>
  </si>
  <si>
    <t>Lewis</t>
  </si>
  <si>
    <t>Harper</t>
  </si>
  <si>
    <t>Walker</t>
  </si>
  <si>
    <t>Grade book</t>
  </si>
  <si>
    <t>Safety test</t>
  </si>
  <si>
    <t>Company philosophy test</t>
  </si>
  <si>
    <t>Financial skill test</t>
  </si>
  <si>
    <t>Drug test</t>
  </si>
  <si>
    <t>Points possible</t>
  </si>
  <si>
    <t>Fire Employe</t>
  </si>
  <si>
    <t>max</t>
  </si>
  <si>
    <t>min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</si>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</sst>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textRotation="90"/>
    </xf>
    <xf numFmtId="9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Safety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357830271216095E-2"/>
          <c:y val="0.16708333333333336"/>
          <c:w val="0.90286351706036749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'grade book'!$A$4:$A$20</c:f>
              <c:strCache>
                <c:ptCount val="17"/>
                <c:pt idx="0">
                  <c:v>Olivia</c:v>
                </c:pt>
                <c:pt idx="1">
                  <c:v>Daniel</c:v>
                </c:pt>
                <c:pt idx="2">
                  <c:v>Sophia</c:v>
                </c:pt>
                <c:pt idx="3">
                  <c:v>Michael</c:v>
                </c:pt>
                <c:pt idx="4">
                  <c:v>Emma</c:v>
                </c:pt>
                <c:pt idx="5">
                  <c:v>David</c:v>
                </c:pt>
                <c:pt idx="6">
                  <c:v>Ava</c:v>
                </c:pt>
                <c:pt idx="7">
                  <c:v>Christopher</c:v>
                </c:pt>
                <c:pt idx="8">
                  <c:v>Isabella</c:v>
                </c:pt>
                <c:pt idx="9">
                  <c:v>Matthew</c:v>
                </c:pt>
                <c:pt idx="10">
                  <c:v>Mia</c:v>
                </c:pt>
                <c:pt idx="11">
                  <c:v>Joshua</c:v>
                </c:pt>
                <c:pt idx="12">
                  <c:v>Charlotte</c:v>
                </c:pt>
                <c:pt idx="13">
                  <c:v>Andrew</c:v>
                </c:pt>
                <c:pt idx="14">
                  <c:v>Amelia</c:v>
                </c:pt>
                <c:pt idx="15">
                  <c:v>Joseph</c:v>
                </c:pt>
                <c:pt idx="16">
                  <c:v>Harper</c:v>
                </c:pt>
              </c:strCache>
            </c:strRef>
          </c:cat>
          <c:val>
            <c:numRef>
              <c:f>'grade book'!$C$4:$C$20</c:f>
              <c:numCache>
                <c:formatCode>General</c:formatCode>
                <c:ptCount val="17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9</c:v>
                </c:pt>
                <c:pt idx="6">
                  <c:v>8</c:v>
                </c:pt>
                <c:pt idx="7">
                  <c:v>5</c:v>
                </c:pt>
                <c:pt idx="8">
                  <c:v>10</c:v>
                </c:pt>
                <c:pt idx="9">
                  <c:v>9</c:v>
                </c:pt>
                <c:pt idx="10">
                  <c:v>10</c:v>
                </c:pt>
                <c:pt idx="11">
                  <c:v>8</c:v>
                </c:pt>
                <c:pt idx="12">
                  <c:v>9</c:v>
                </c:pt>
                <c:pt idx="13">
                  <c:v>7</c:v>
                </c:pt>
                <c:pt idx="14">
                  <c:v>10</c:v>
                </c:pt>
                <c:pt idx="15">
                  <c:v>11</c:v>
                </c:pt>
                <c:pt idx="1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E0-4B56-879A-129F27DC2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3252528"/>
        <c:axId val="593255440"/>
      </c:barChart>
      <c:catAx>
        <c:axId val="593252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255440"/>
        <c:crosses val="autoZero"/>
        <c:auto val="1"/>
        <c:lblAlgn val="ctr"/>
        <c:lblOffset val="100"/>
        <c:noMultiLvlLbl val="0"/>
      </c:catAx>
      <c:valAx>
        <c:axId val="59325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252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Company philosophy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5468941382327212E-2"/>
          <c:y val="6.5231481481481488E-2"/>
          <c:w val="0.90286351706036749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'grade book'!$A$4:$A$20</c:f>
              <c:strCache>
                <c:ptCount val="17"/>
                <c:pt idx="0">
                  <c:v>Olivia</c:v>
                </c:pt>
                <c:pt idx="1">
                  <c:v>Daniel</c:v>
                </c:pt>
                <c:pt idx="2">
                  <c:v>Sophia</c:v>
                </c:pt>
                <c:pt idx="3">
                  <c:v>Michael</c:v>
                </c:pt>
                <c:pt idx="4">
                  <c:v>Emma</c:v>
                </c:pt>
                <c:pt idx="5">
                  <c:v>David</c:v>
                </c:pt>
                <c:pt idx="6">
                  <c:v>Ava</c:v>
                </c:pt>
                <c:pt idx="7">
                  <c:v>Christopher</c:v>
                </c:pt>
                <c:pt idx="8">
                  <c:v>Isabella</c:v>
                </c:pt>
                <c:pt idx="9">
                  <c:v>Matthew</c:v>
                </c:pt>
                <c:pt idx="10">
                  <c:v>Mia</c:v>
                </c:pt>
                <c:pt idx="11">
                  <c:v>Joshua</c:v>
                </c:pt>
                <c:pt idx="12">
                  <c:v>Charlotte</c:v>
                </c:pt>
                <c:pt idx="13">
                  <c:v>Andrew</c:v>
                </c:pt>
                <c:pt idx="14">
                  <c:v>Amelia</c:v>
                </c:pt>
                <c:pt idx="15">
                  <c:v>Joseph</c:v>
                </c:pt>
                <c:pt idx="16">
                  <c:v>Harper</c:v>
                </c:pt>
              </c:strCache>
            </c:strRef>
          </c:cat>
          <c:val>
            <c:numRef>
              <c:f>'grade book'!$D$4:$D$20</c:f>
              <c:numCache>
                <c:formatCode>General</c:formatCode>
                <c:ptCount val="17"/>
                <c:pt idx="0">
                  <c:v>19</c:v>
                </c:pt>
                <c:pt idx="1">
                  <c:v>20</c:v>
                </c:pt>
                <c:pt idx="2">
                  <c:v>17</c:v>
                </c:pt>
                <c:pt idx="3">
                  <c:v>10</c:v>
                </c:pt>
                <c:pt idx="4">
                  <c:v>20</c:v>
                </c:pt>
                <c:pt idx="5">
                  <c:v>17</c:v>
                </c:pt>
                <c:pt idx="6">
                  <c:v>20</c:v>
                </c:pt>
                <c:pt idx="7">
                  <c:v>6</c:v>
                </c:pt>
                <c:pt idx="8">
                  <c:v>20</c:v>
                </c:pt>
                <c:pt idx="9">
                  <c:v>20</c:v>
                </c:pt>
                <c:pt idx="10">
                  <c:v>19</c:v>
                </c:pt>
                <c:pt idx="11">
                  <c:v>17</c:v>
                </c:pt>
                <c:pt idx="12">
                  <c:v>19</c:v>
                </c:pt>
                <c:pt idx="13">
                  <c:v>20</c:v>
                </c:pt>
                <c:pt idx="14">
                  <c:v>10</c:v>
                </c:pt>
                <c:pt idx="15">
                  <c:v>20</c:v>
                </c:pt>
                <c:pt idx="16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98-4193-9A13-8751AB59AB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1351504"/>
        <c:axId val="261351920"/>
      </c:barChart>
      <c:catAx>
        <c:axId val="261351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51920"/>
        <c:crosses val="autoZero"/>
        <c:auto val="1"/>
        <c:lblAlgn val="ctr"/>
        <c:lblOffset val="100"/>
        <c:noMultiLvlLbl val="0"/>
      </c:catAx>
      <c:valAx>
        <c:axId val="26135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51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Financial</a:t>
            </a:r>
            <a:r>
              <a:rPr lang="en-US" baseline="0"/>
              <a:t> skill test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763123359580055E-2"/>
          <c:y val="6.5231481481481488E-2"/>
          <c:w val="0.89019685039370078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'grade book'!$A$4:$A$20</c:f>
              <c:strCache>
                <c:ptCount val="17"/>
                <c:pt idx="0">
                  <c:v>Olivia</c:v>
                </c:pt>
                <c:pt idx="1">
                  <c:v>Daniel</c:v>
                </c:pt>
                <c:pt idx="2">
                  <c:v>Sophia</c:v>
                </c:pt>
                <c:pt idx="3">
                  <c:v>Michael</c:v>
                </c:pt>
                <c:pt idx="4">
                  <c:v>Emma</c:v>
                </c:pt>
                <c:pt idx="5">
                  <c:v>David</c:v>
                </c:pt>
                <c:pt idx="6">
                  <c:v>Ava</c:v>
                </c:pt>
                <c:pt idx="7">
                  <c:v>Christopher</c:v>
                </c:pt>
                <c:pt idx="8">
                  <c:v>Isabella</c:v>
                </c:pt>
                <c:pt idx="9">
                  <c:v>Matthew</c:v>
                </c:pt>
                <c:pt idx="10">
                  <c:v>Mia</c:v>
                </c:pt>
                <c:pt idx="11">
                  <c:v>Joshua</c:v>
                </c:pt>
                <c:pt idx="12">
                  <c:v>Charlotte</c:v>
                </c:pt>
                <c:pt idx="13">
                  <c:v>Andrew</c:v>
                </c:pt>
                <c:pt idx="14">
                  <c:v>Amelia</c:v>
                </c:pt>
                <c:pt idx="15">
                  <c:v>Joseph</c:v>
                </c:pt>
                <c:pt idx="16">
                  <c:v>Harper</c:v>
                </c:pt>
              </c:strCache>
            </c:strRef>
          </c:cat>
          <c:val>
            <c:numRef>
              <c:f>'grade book'!$E$4:$E$20</c:f>
              <c:numCache>
                <c:formatCode>General</c:formatCode>
                <c:ptCount val="17"/>
                <c:pt idx="0">
                  <c:v>93</c:v>
                </c:pt>
                <c:pt idx="1">
                  <c:v>100</c:v>
                </c:pt>
                <c:pt idx="2">
                  <c:v>82</c:v>
                </c:pt>
                <c:pt idx="3">
                  <c:v>73</c:v>
                </c:pt>
                <c:pt idx="4">
                  <c:v>59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67</c:v>
                </c:pt>
                <c:pt idx="9">
                  <c:v>70</c:v>
                </c:pt>
                <c:pt idx="10">
                  <c:v>80</c:v>
                </c:pt>
                <c:pt idx="11">
                  <c:v>90</c:v>
                </c:pt>
                <c:pt idx="12">
                  <c:v>45</c:v>
                </c:pt>
                <c:pt idx="13">
                  <c:v>90</c:v>
                </c:pt>
                <c:pt idx="14">
                  <c:v>80</c:v>
                </c:pt>
                <c:pt idx="15">
                  <c:v>69</c:v>
                </c:pt>
                <c:pt idx="16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95-4F9E-80DD-ABD973723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9152912"/>
        <c:axId val="759150416"/>
      </c:barChart>
      <c:catAx>
        <c:axId val="75915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150416"/>
        <c:crosses val="autoZero"/>
        <c:auto val="1"/>
        <c:lblAlgn val="ctr"/>
        <c:lblOffset val="100"/>
        <c:noMultiLvlLbl val="0"/>
      </c:catAx>
      <c:valAx>
        <c:axId val="75915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15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200025</xdr:colOff>
      <xdr:row>4</xdr:row>
      <xdr:rowOff>73025</xdr:rowOff>
    </xdr:from>
    <xdr:to>
      <xdr:col>20</xdr:col>
      <xdr:colOff>504825</xdr:colOff>
      <xdr:row>19</xdr:row>
      <xdr:rowOff>53975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9C3CDA-4492-4159-8BA0-3383C622CD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117475</xdr:colOff>
      <xdr:row>19</xdr:row>
      <xdr:rowOff>136525</xdr:rowOff>
    </xdr:from>
    <xdr:to>
      <xdr:col>20</xdr:col>
      <xdr:colOff>422275</xdr:colOff>
      <xdr:row>34</xdr:row>
      <xdr:rowOff>117475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AD4CA8-8367-4B7F-BCB2-606D941730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606425</xdr:colOff>
      <xdr:row>4</xdr:row>
      <xdr:rowOff>66675</xdr:rowOff>
    </xdr:from>
    <xdr:to>
      <xdr:col>28</xdr:col>
      <xdr:colOff>301625</xdr:colOff>
      <xdr:row>19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B435AA4-EA14-4805-9E2F-D9B02D7D3C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4"/>
  <sheetViews>
    <sheetView tabSelected="1" topLeftCell="A2" workbookViewId="0">
      <selection activeCell="A24" sqref="A24"/>
    </sheetView>
  </sheetViews>
  <sheetFormatPr defaultRowHeight="14.5" x14ac:dyDescent="0.35"/>
  <cols>
    <col min="1" max="1" width="12.08984375" customWidth="1"/>
    <col min="2" max="2" width="12.81640625" customWidth="1"/>
    <col min="3" max="3" width="5.6328125" customWidth="1"/>
    <col min="4" max="4" width="5.54296875" customWidth="1"/>
    <col min="5" max="5" width="5.90625" customWidth="1"/>
    <col min="6" max="6" width="4.54296875" customWidth="1"/>
    <col min="10" max="10" width="8.7265625" customWidth="1"/>
  </cols>
  <sheetData>
    <row r="1" spans="1:13" ht="122" x14ac:dyDescent="0.35">
      <c r="A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H1" s="1" t="s">
        <v>37</v>
      </c>
      <c r="I1" s="1" t="s">
        <v>38</v>
      </c>
      <c r="J1" s="1" t="s">
        <v>39</v>
      </c>
      <c r="K1" s="1" t="s">
        <v>40</v>
      </c>
      <c r="M1" s="1" t="s">
        <v>42</v>
      </c>
    </row>
    <row r="2" spans="1:13" x14ac:dyDescent="0.35">
      <c r="B2" t="s">
        <v>41</v>
      </c>
      <c r="C2">
        <v>10</v>
      </c>
      <c r="D2">
        <v>20</v>
      </c>
      <c r="E2">
        <v>100</v>
      </c>
      <c r="F2">
        <v>1</v>
      </c>
    </row>
    <row r="3" spans="1:13" x14ac:dyDescent="0.35">
      <c r="A3" t="s">
        <v>0</v>
      </c>
      <c r="B3" t="s">
        <v>1</v>
      </c>
    </row>
    <row r="4" spans="1:13" x14ac:dyDescent="0.35">
      <c r="A4" t="s">
        <v>2</v>
      </c>
      <c r="B4" t="s">
        <v>3</v>
      </c>
      <c r="C4">
        <v>10</v>
      </c>
      <c r="D4">
        <v>19</v>
      </c>
      <c r="E4">
        <v>93</v>
      </c>
      <c r="F4">
        <v>1</v>
      </c>
      <c r="H4" s="2">
        <f>C4/C$2</f>
        <v>1</v>
      </c>
      <c r="I4" s="2">
        <f t="shared" ref="I4:L19" si="0">D4/D$2</f>
        <v>0.95</v>
      </c>
      <c r="J4" s="2">
        <f t="shared" si="0"/>
        <v>0.93</v>
      </c>
      <c r="K4" s="2">
        <f t="shared" si="0"/>
        <v>1</v>
      </c>
      <c r="L4" s="2"/>
      <c r="M4" s="2" t="b">
        <f>OR(H4&lt;50%,I4&lt;50%,J4&lt;50%,K4&lt;50%)</f>
        <v>0</v>
      </c>
    </row>
    <row r="5" spans="1:13" x14ac:dyDescent="0.35">
      <c r="A5" t="s">
        <v>4</v>
      </c>
      <c r="B5" t="s">
        <v>5</v>
      </c>
      <c r="C5">
        <v>9</v>
      </c>
      <c r="D5">
        <v>20</v>
      </c>
      <c r="E5">
        <v>100</v>
      </c>
      <c r="F5">
        <v>1</v>
      </c>
      <c r="H5" s="2">
        <f t="shared" ref="H5:H20" si="1">C5/C$2</f>
        <v>0.9</v>
      </c>
      <c r="I5" s="2">
        <f t="shared" si="0"/>
        <v>1</v>
      </c>
      <c r="J5" s="2">
        <f t="shared" si="0"/>
        <v>1</v>
      </c>
      <c r="K5" s="2">
        <f t="shared" si="0"/>
        <v>1</v>
      </c>
      <c r="L5" s="2"/>
      <c r="M5" s="2" t="b">
        <f t="shared" ref="M5:M20" si="2">OR(H5&lt;50%,I5&lt;50%,J5&lt;50%,K5&lt;50%)</f>
        <v>0</v>
      </c>
    </row>
    <row r="6" spans="1:13" x14ac:dyDescent="0.35">
      <c r="A6" t="s">
        <v>6</v>
      </c>
      <c r="B6" t="s">
        <v>7</v>
      </c>
      <c r="C6">
        <v>8</v>
      </c>
      <c r="D6">
        <v>17</v>
      </c>
      <c r="E6">
        <v>82</v>
      </c>
      <c r="F6">
        <v>1</v>
      </c>
      <c r="H6" s="2">
        <f t="shared" si="1"/>
        <v>0.8</v>
      </c>
      <c r="I6" s="2">
        <f t="shared" si="0"/>
        <v>0.85</v>
      </c>
      <c r="J6" s="2">
        <f t="shared" si="0"/>
        <v>0.82</v>
      </c>
      <c r="K6" s="2">
        <f t="shared" si="0"/>
        <v>1</v>
      </c>
      <c r="L6" s="2"/>
      <c r="M6" s="2" t="b">
        <f t="shared" si="2"/>
        <v>0</v>
      </c>
    </row>
    <row r="7" spans="1:13" x14ac:dyDescent="0.35">
      <c r="A7" t="s">
        <v>8</v>
      </c>
      <c r="B7" t="s">
        <v>9</v>
      </c>
      <c r="C7">
        <v>9</v>
      </c>
      <c r="D7">
        <v>10</v>
      </c>
      <c r="E7">
        <v>73</v>
      </c>
      <c r="F7">
        <v>1</v>
      </c>
      <c r="H7" s="2">
        <f t="shared" si="1"/>
        <v>0.9</v>
      </c>
      <c r="I7" s="2">
        <f t="shared" si="0"/>
        <v>0.5</v>
      </c>
      <c r="J7" s="2">
        <f t="shared" si="0"/>
        <v>0.73</v>
      </c>
      <c r="K7" s="2">
        <f t="shared" si="0"/>
        <v>1</v>
      </c>
      <c r="L7" s="2"/>
      <c r="M7" s="2" t="b">
        <f t="shared" si="2"/>
        <v>0</v>
      </c>
    </row>
    <row r="8" spans="1:13" x14ac:dyDescent="0.35">
      <c r="A8" t="s">
        <v>10</v>
      </c>
      <c r="B8" t="s">
        <v>11</v>
      </c>
      <c r="C8">
        <v>10</v>
      </c>
      <c r="D8">
        <v>20</v>
      </c>
      <c r="E8">
        <v>59</v>
      </c>
      <c r="F8">
        <v>1</v>
      </c>
      <c r="H8" s="2">
        <f t="shared" si="1"/>
        <v>1</v>
      </c>
      <c r="I8" s="2">
        <f t="shared" si="0"/>
        <v>1</v>
      </c>
      <c r="J8" s="2">
        <f t="shared" si="0"/>
        <v>0.59</v>
      </c>
      <c r="K8" s="2">
        <f t="shared" si="0"/>
        <v>1</v>
      </c>
      <c r="L8" s="2"/>
      <c r="M8" s="2" t="b">
        <f t="shared" si="2"/>
        <v>0</v>
      </c>
    </row>
    <row r="9" spans="1:13" x14ac:dyDescent="0.35">
      <c r="A9" t="s">
        <v>12</v>
      </c>
      <c r="B9" t="s">
        <v>13</v>
      </c>
      <c r="C9">
        <v>9</v>
      </c>
      <c r="D9">
        <v>17</v>
      </c>
      <c r="E9">
        <v>100</v>
      </c>
      <c r="F9">
        <v>1</v>
      </c>
      <c r="H9" s="2">
        <f t="shared" si="1"/>
        <v>0.9</v>
      </c>
      <c r="I9" s="2">
        <f t="shared" si="0"/>
        <v>0.85</v>
      </c>
      <c r="J9" s="2">
        <f t="shared" si="0"/>
        <v>1</v>
      </c>
      <c r="K9" s="2">
        <f t="shared" si="0"/>
        <v>1</v>
      </c>
      <c r="L9" s="2"/>
      <c r="M9" s="2" t="b">
        <f t="shared" si="2"/>
        <v>0</v>
      </c>
    </row>
    <row r="10" spans="1:13" x14ac:dyDescent="0.35">
      <c r="A10" t="s">
        <v>14</v>
      </c>
      <c r="B10" t="s">
        <v>15</v>
      </c>
      <c r="C10">
        <v>8</v>
      </c>
      <c r="D10">
        <v>20</v>
      </c>
      <c r="E10">
        <v>100</v>
      </c>
      <c r="F10">
        <v>0</v>
      </c>
      <c r="H10" s="2">
        <f t="shared" si="1"/>
        <v>0.8</v>
      </c>
      <c r="I10" s="2">
        <f t="shared" si="0"/>
        <v>1</v>
      </c>
      <c r="J10" s="2">
        <f t="shared" si="0"/>
        <v>1</v>
      </c>
      <c r="K10" s="2">
        <f t="shared" si="0"/>
        <v>0</v>
      </c>
      <c r="L10" s="2"/>
      <c r="M10" s="2" t="b">
        <f t="shared" si="2"/>
        <v>1</v>
      </c>
    </row>
    <row r="11" spans="1:13" x14ac:dyDescent="0.35">
      <c r="A11" t="s">
        <v>16</v>
      </c>
      <c r="B11" t="s">
        <v>17</v>
      </c>
      <c r="C11">
        <v>5</v>
      </c>
      <c r="D11">
        <v>6</v>
      </c>
      <c r="E11">
        <v>100</v>
      </c>
      <c r="F11">
        <v>1</v>
      </c>
      <c r="H11" s="2">
        <f t="shared" si="1"/>
        <v>0.5</v>
      </c>
      <c r="I11" s="2">
        <f t="shared" si="0"/>
        <v>0.3</v>
      </c>
      <c r="J11" s="2">
        <f t="shared" si="0"/>
        <v>1</v>
      </c>
      <c r="K11" s="2">
        <f t="shared" si="0"/>
        <v>1</v>
      </c>
      <c r="L11" s="2"/>
      <c r="M11" s="2" t="b">
        <f t="shared" si="2"/>
        <v>1</v>
      </c>
    </row>
    <row r="12" spans="1:13" x14ac:dyDescent="0.35">
      <c r="A12" t="s">
        <v>18</v>
      </c>
      <c r="B12" t="s">
        <v>19</v>
      </c>
      <c r="C12">
        <v>10</v>
      </c>
      <c r="D12">
        <v>20</v>
      </c>
      <c r="E12">
        <v>67</v>
      </c>
      <c r="F12">
        <v>1</v>
      </c>
      <c r="H12" s="2">
        <f t="shared" si="1"/>
        <v>1</v>
      </c>
      <c r="I12" s="2">
        <f t="shared" si="0"/>
        <v>1</v>
      </c>
      <c r="J12" s="2">
        <f t="shared" si="0"/>
        <v>0.67</v>
      </c>
      <c r="K12" s="2">
        <f t="shared" si="0"/>
        <v>1</v>
      </c>
      <c r="L12" s="2"/>
      <c r="M12" s="2" t="b">
        <f t="shared" si="2"/>
        <v>0</v>
      </c>
    </row>
    <row r="13" spans="1:13" x14ac:dyDescent="0.35">
      <c r="A13" t="s">
        <v>20</v>
      </c>
      <c r="B13" t="s">
        <v>21</v>
      </c>
      <c r="C13">
        <v>9</v>
      </c>
      <c r="D13">
        <v>20</v>
      </c>
      <c r="E13">
        <v>70</v>
      </c>
      <c r="F13">
        <v>1</v>
      </c>
      <c r="H13" s="2">
        <f t="shared" si="1"/>
        <v>0.9</v>
      </c>
      <c r="I13" s="2">
        <f t="shared" si="0"/>
        <v>1</v>
      </c>
      <c r="J13" s="2">
        <f t="shared" si="0"/>
        <v>0.7</v>
      </c>
      <c r="K13" s="2">
        <f t="shared" si="0"/>
        <v>1</v>
      </c>
      <c r="L13" s="2"/>
      <c r="M13" s="2" t="b">
        <f t="shared" si="2"/>
        <v>0</v>
      </c>
    </row>
    <row r="14" spans="1:13" x14ac:dyDescent="0.35">
      <c r="A14" t="s">
        <v>22</v>
      </c>
      <c r="B14" t="s">
        <v>23</v>
      </c>
      <c r="C14">
        <v>10</v>
      </c>
      <c r="D14">
        <v>19</v>
      </c>
      <c r="E14">
        <v>80</v>
      </c>
      <c r="F14">
        <v>1</v>
      </c>
      <c r="H14" s="2">
        <f t="shared" si="1"/>
        <v>1</v>
      </c>
      <c r="I14" s="2">
        <f t="shared" si="0"/>
        <v>0.95</v>
      </c>
      <c r="J14" s="2">
        <f t="shared" si="0"/>
        <v>0.8</v>
      </c>
      <c r="K14" s="2">
        <f t="shared" si="0"/>
        <v>1</v>
      </c>
      <c r="L14" s="2"/>
      <c r="M14" s="2" t="b">
        <f t="shared" si="2"/>
        <v>0</v>
      </c>
    </row>
    <row r="15" spans="1:13" x14ac:dyDescent="0.35">
      <c r="A15" t="s">
        <v>24</v>
      </c>
      <c r="B15" t="s">
        <v>25</v>
      </c>
      <c r="C15">
        <v>8</v>
      </c>
      <c r="D15">
        <v>17</v>
      </c>
      <c r="E15">
        <v>90</v>
      </c>
      <c r="F15">
        <v>1</v>
      </c>
      <c r="H15" s="2">
        <f t="shared" si="1"/>
        <v>0.8</v>
      </c>
      <c r="I15" s="2">
        <f t="shared" si="0"/>
        <v>0.85</v>
      </c>
      <c r="J15" s="2">
        <f t="shared" si="0"/>
        <v>0.9</v>
      </c>
      <c r="K15" s="2">
        <f t="shared" si="0"/>
        <v>1</v>
      </c>
      <c r="L15" s="2"/>
      <c r="M15" s="2" t="b">
        <f t="shared" si="2"/>
        <v>0</v>
      </c>
    </row>
    <row r="16" spans="1:13" x14ac:dyDescent="0.35">
      <c r="A16" t="s">
        <v>26</v>
      </c>
      <c r="B16" t="s">
        <v>27</v>
      </c>
      <c r="C16">
        <v>9</v>
      </c>
      <c r="D16">
        <v>19</v>
      </c>
      <c r="E16">
        <v>45</v>
      </c>
      <c r="F16">
        <v>0</v>
      </c>
      <c r="H16" s="2">
        <f t="shared" si="1"/>
        <v>0.9</v>
      </c>
      <c r="I16" s="2">
        <f t="shared" si="0"/>
        <v>0.95</v>
      </c>
      <c r="J16" s="2">
        <f t="shared" si="0"/>
        <v>0.45</v>
      </c>
      <c r="K16" s="2">
        <f t="shared" si="0"/>
        <v>0</v>
      </c>
      <c r="L16" s="2"/>
      <c r="M16" s="2" t="b">
        <f t="shared" si="2"/>
        <v>1</v>
      </c>
    </row>
    <row r="17" spans="1:13" x14ac:dyDescent="0.35">
      <c r="A17" t="s">
        <v>28</v>
      </c>
      <c r="B17" t="s">
        <v>29</v>
      </c>
      <c r="C17">
        <v>7</v>
      </c>
      <c r="D17">
        <v>20</v>
      </c>
      <c r="E17">
        <v>90</v>
      </c>
      <c r="F17">
        <v>1</v>
      </c>
      <c r="H17" s="2">
        <f t="shared" si="1"/>
        <v>0.7</v>
      </c>
      <c r="I17" s="2">
        <f t="shared" si="0"/>
        <v>1</v>
      </c>
      <c r="J17" s="2">
        <f t="shared" si="0"/>
        <v>0.9</v>
      </c>
      <c r="K17" s="2">
        <f t="shared" si="0"/>
        <v>1</v>
      </c>
      <c r="L17" s="2"/>
      <c r="M17" s="2" t="b">
        <f t="shared" si="2"/>
        <v>0</v>
      </c>
    </row>
    <row r="18" spans="1:13" x14ac:dyDescent="0.35">
      <c r="A18" t="s">
        <v>30</v>
      </c>
      <c r="B18" t="s">
        <v>31</v>
      </c>
      <c r="C18">
        <v>10</v>
      </c>
      <c r="D18">
        <v>10</v>
      </c>
      <c r="E18">
        <v>80</v>
      </c>
      <c r="F18">
        <v>1</v>
      </c>
      <c r="H18" s="2">
        <f t="shared" si="1"/>
        <v>1</v>
      </c>
      <c r="I18" s="2">
        <f t="shared" si="0"/>
        <v>0.5</v>
      </c>
      <c r="J18" s="2">
        <f t="shared" si="0"/>
        <v>0.8</v>
      </c>
      <c r="K18" s="2">
        <f t="shared" si="0"/>
        <v>1</v>
      </c>
      <c r="L18" s="2"/>
      <c r="M18" s="2" t="b">
        <f t="shared" si="2"/>
        <v>0</v>
      </c>
    </row>
    <row r="19" spans="1:13" x14ac:dyDescent="0.35">
      <c r="A19" t="s">
        <v>32</v>
      </c>
      <c r="B19" t="s">
        <v>33</v>
      </c>
      <c r="C19">
        <v>11</v>
      </c>
      <c r="D19">
        <v>20</v>
      </c>
      <c r="E19">
        <v>69</v>
      </c>
      <c r="F19">
        <v>1</v>
      </c>
      <c r="H19" s="2">
        <f t="shared" si="1"/>
        <v>1.1000000000000001</v>
      </c>
      <c r="I19" s="2">
        <f t="shared" si="0"/>
        <v>1</v>
      </c>
      <c r="J19" s="2">
        <f t="shared" si="0"/>
        <v>0.69</v>
      </c>
      <c r="K19" s="2">
        <f t="shared" si="0"/>
        <v>1</v>
      </c>
      <c r="L19" s="2"/>
      <c r="M19" s="2" t="b">
        <f t="shared" si="2"/>
        <v>0</v>
      </c>
    </row>
    <row r="20" spans="1:13" x14ac:dyDescent="0.35">
      <c r="A20" t="s">
        <v>34</v>
      </c>
      <c r="B20" t="s">
        <v>35</v>
      </c>
      <c r="C20">
        <v>10</v>
      </c>
      <c r="D20">
        <v>14</v>
      </c>
      <c r="E20">
        <v>90</v>
      </c>
      <c r="F20">
        <v>1</v>
      </c>
      <c r="H20" s="2">
        <f t="shared" si="1"/>
        <v>1</v>
      </c>
      <c r="I20" s="2">
        <f t="shared" ref="I20" si="3">D20/D$2</f>
        <v>0.7</v>
      </c>
      <c r="J20" s="2">
        <f t="shared" ref="J20" si="4">E20/E$2</f>
        <v>0.9</v>
      </c>
      <c r="K20" s="2">
        <f t="shared" ref="K20" si="5">F20/F$2</f>
        <v>1</v>
      </c>
      <c r="L20" s="2"/>
      <c r="M20" s="2" t="b">
        <f t="shared" si="2"/>
        <v>0</v>
      </c>
    </row>
    <row r="22" spans="1:13" x14ac:dyDescent="0.35">
      <c r="A22" t="s">
        <v>43</v>
      </c>
      <c r="C22">
        <f>MAX(C4:C20)</f>
        <v>11</v>
      </c>
      <c r="D22">
        <f t="shared" ref="D22:F22" si="6">MAX(D4:D20)</f>
        <v>20</v>
      </c>
      <c r="E22">
        <f t="shared" si="6"/>
        <v>100</v>
      </c>
      <c r="F22">
        <f t="shared" si="6"/>
        <v>1</v>
      </c>
      <c r="H22" s="2">
        <f>MAX(H4:H20)</f>
        <v>1.1000000000000001</v>
      </c>
      <c r="I22" s="2">
        <f t="shared" ref="I22:K22" si="7">MAX(I4:I20)</f>
        <v>1</v>
      </c>
      <c r="J22" s="2">
        <f t="shared" si="7"/>
        <v>1</v>
      </c>
      <c r="K22" s="2">
        <f t="shared" si="7"/>
        <v>1</v>
      </c>
    </row>
    <row r="23" spans="1:13" x14ac:dyDescent="0.35">
      <c r="A23" t="s">
        <v>44</v>
      </c>
      <c r="C23">
        <f>MIN(C4:C20)</f>
        <v>5</v>
      </c>
      <c r="D23">
        <f t="shared" ref="D23:F23" si="8">MIN(D4:D20)</f>
        <v>6</v>
      </c>
      <c r="E23">
        <f t="shared" si="8"/>
        <v>45</v>
      </c>
      <c r="F23">
        <f t="shared" si="8"/>
        <v>0</v>
      </c>
      <c r="H23" s="2">
        <f>MIN(H4:H20)</f>
        <v>0.5</v>
      </c>
      <c r="I23" s="2">
        <f t="shared" ref="I23:K23" si="9">MIN(I4:I20)</f>
        <v>0.3</v>
      </c>
      <c r="J23" s="2">
        <f t="shared" si="9"/>
        <v>0.45</v>
      </c>
      <c r="K23" s="2">
        <f t="shared" si="9"/>
        <v>0</v>
      </c>
    </row>
    <row r="24" spans="1:13" x14ac:dyDescent="0.35">
      <c r="A24" t="s">
        <v>45</v>
      </c>
      <c r="C24">
        <f>AVERAGE(C4:C20)</f>
        <v>8.9411764705882355</v>
      </c>
      <c r="D24">
        <f t="shared" ref="D24:F24" si="10">AVERAGE(D4:D20)</f>
        <v>16.941176470588236</v>
      </c>
      <c r="E24">
        <f t="shared" si="10"/>
        <v>81.647058823529406</v>
      </c>
      <c r="F24">
        <f t="shared" si="10"/>
        <v>0.88235294117647056</v>
      </c>
      <c r="H24" s="2">
        <f>AVERAGE(H4:H20)</f>
        <v>0.89411764705882346</v>
      </c>
      <c r="I24" s="2">
        <f t="shared" ref="I24:K24" si="11">AVERAGE(I4:I20)</f>
        <v>0.84705882352941153</v>
      </c>
      <c r="J24" s="2">
        <f t="shared" si="11"/>
        <v>0.81647058823529417</v>
      </c>
      <c r="K24" s="2">
        <f t="shared" si="11"/>
        <v>0.88235294117647056</v>
      </c>
    </row>
  </sheetData>
  <conditionalFormatting sqref="C4:C20">
    <cfRule type="iconSet" priority="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D4:D20">
    <cfRule type="iconSet" priority="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E4:E20">
    <cfRule type="iconSet" priority="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F4:F20">
    <cfRule type="iconSet" priority="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H4:K20 M4:M20">
    <cfRule type="cellIs" dxfId="2" priority="2" operator="lessThan">
      <formula>0.5</formula>
    </cfRule>
  </conditionalFormatting>
  <conditionalFormatting sqref="M4:M20">
    <cfRule type="cellIs" dxfId="0" priority="1" operator="equal">
      <formula>TRUE</formula>
    </cfRule>
  </conditionalFormatting>
  <pageMargins left="0.7" right="0.7" top="0.75" bottom="0.75" header="0.3" footer="0.3"/>
  <pageSetup scale="4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 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2026-04-27T14:23:45Z</cp:lastPrinted>
  <dcterms:created xsi:type="dcterms:W3CDTF">2026-04-27T14:24:30Z</dcterms:created>
  <dcterms:modified xsi:type="dcterms:W3CDTF">2026-04-27T14:24:30Z</dcterms:modified>
</cp:coreProperties>
</file>